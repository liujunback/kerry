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/>
  <mc:AlternateContent xmlns:mc="http://schemas.openxmlformats.org/markup-compatibility/2006">
    <mc:Choice Requires="x15">
      <x15ac:absPath xmlns:x15ac="http://schemas.microsoft.com/office/spreadsheetml/2010/11/ac" url="C:\Users\admin\Desktop\KEC\2、需求文档\"/>
    </mc:Choice>
  </mc:AlternateContent>
  <xr:revisionPtr revIDLastSave="0" documentId="13_ncr:1_{4170A807-9A57-4133-B0F7-EF46D2E97E89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导出字段模板" sheetId="2" r:id="rId1"/>
    <sheet name="示例值" sheetId="3" r:id="rId2"/>
  </sheets>
  <definedNames>
    <definedName name="_xlnm._FilterDatabase" localSheetId="0" hidden="1">导出字段模板!$A$1:$AQ$13</definedName>
    <definedName name="_xlnm._FilterDatabase" localSheetId="1" hidden="1">示例值!$A$1:$AQ$12</definedName>
  </definedNames>
  <calcPr calcId="181029"/>
</workbook>
</file>

<file path=xl/calcChain.xml><?xml version="1.0" encoding="utf-8"?>
<calcChain xmlns="http://schemas.openxmlformats.org/spreadsheetml/2006/main">
  <c r="S12" i="3" l="1"/>
  <c r="S11" i="3"/>
  <c r="S10" i="3"/>
  <c r="S9" i="3"/>
  <c r="S8" i="3"/>
  <c r="S7" i="3"/>
  <c r="S6" i="3"/>
  <c r="S5" i="3"/>
  <c r="S4" i="3"/>
  <c r="S3" i="3"/>
  <c r="S2" i="3"/>
  <c r="S13" i="2"/>
  <c r="S12" i="2"/>
  <c r="S11" i="2"/>
  <c r="S10" i="2"/>
  <c r="S9" i="2"/>
  <c r="S8" i="2"/>
  <c r="S7" i="2"/>
  <c r="S6" i="2"/>
  <c r="S5" i="2"/>
  <c r="S4" i="2"/>
  <c r="S3" i="2"/>
</calcChain>
</file>

<file path=xl/sharedStrings.xml><?xml version="1.0" encoding="utf-8"?>
<sst xmlns="http://schemas.openxmlformats.org/spreadsheetml/2006/main" count="879" uniqueCount="154">
  <si>
    <t>Waybill Number</t>
  </si>
  <si>
    <t>Shipment Reference No.</t>
  </si>
  <si>
    <t>Shipper Company Name</t>
  </si>
  <si>
    <t>Shipper Contact Name</t>
  </si>
  <si>
    <t>Shipper Tel</t>
  </si>
  <si>
    <t>Shipper Address</t>
  </si>
  <si>
    <t>Shipper Country</t>
  </si>
  <si>
    <t>Shipper Postal Code</t>
  </si>
  <si>
    <t>Consignee Company Name</t>
  </si>
  <si>
    <t>Consignee Contact Name</t>
  </si>
  <si>
    <t>Consignee Tel</t>
  </si>
  <si>
    <t>Consignee Address</t>
  </si>
  <si>
    <t>Consignee Country</t>
  </si>
  <si>
    <t>Consignee Postal Code</t>
  </si>
  <si>
    <t>Currency</t>
  </si>
  <si>
    <t>Content</t>
  </si>
  <si>
    <t>Quantity</t>
  </si>
  <si>
    <t>Unit Price</t>
  </si>
  <si>
    <t>Total Value</t>
  </si>
  <si>
    <t>More than 1 items</t>
  </si>
  <si>
    <t>Shipment Type</t>
  </si>
  <si>
    <t>Total Package</t>
  </si>
  <si>
    <t>Total Actual Weight</t>
  </si>
  <si>
    <t>Origin</t>
  </si>
  <si>
    <t>Destination</t>
  </si>
  <si>
    <t>Creation Date</t>
  </si>
  <si>
    <t>Processing Shipment Date</t>
  </si>
  <si>
    <t>HSCODE</t>
  </si>
  <si>
    <t>Category</t>
  </si>
  <si>
    <t>BoxID</t>
  </si>
  <si>
    <t>Package Number</t>
  </si>
  <si>
    <t>Payment Method</t>
  </si>
  <si>
    <t>COD Value</t>
  </si>
  <si>
    <t>Product Category ID</t>
  </si>
  <si>
    <t>Client</t>
  </si>
  <si>
    <t>Centre</t>
  </si>
  <si>
    <t>Sort Code</t>
  </si>
  <si>
    <t>Consignee Subdistrict</t>
  </si>
  <si>
    <t>Consignee District</t>
  </si>
  <si>
    <t>Consignee Province</t>
  </si>
  <si>
    <t>Shipper Subdistrict</t>
  </si>
  <si>
    <t>Shipper District</t>
  </si>
  <si>
    <t>Shipper Province</t>
  </si>
  <si>
    <t>784-15384552</t>
  </si>
  <si>
    <t>SUN</t>
  </si>
  <si>
    <t>Shopee</t>
  </si>
  <si>
    <t>+86(0755)89351937</t>
  </si>
  <si>
    <t>North of the first floor of A1 building, B3 District, Fuhai  Industrial Park, ,Fuyong Town,Shenzhen,China</t>
  </si>
  <si>
    <t>China</t>
  </si>
  <si>
    <t>000000</t>
  </si>
  <si>
    <t>Thailand</t>
  </si>
  <si>
    <t>THB</t>
  </si>
  <si>
    <t>yes</t>
  </si>
  <si>
    <t>Parcel</t>
  </si>
  <si>
    <t>Prepaid</t>
  </si>
  <si>
    <t>THC0801</t>
  </si>
  <si>
    <t>N/A</t>
  </si>
  <si>
    <t>Shenzhen</t>
  </si>
  <si>
    <t>GuangDong</t>
  </si>
  <si>
    <t>no</t>
  </si>
  <si>
    <t>PHITSANULOK</t>
  </si>
  <si>
    <t>CHAIYAPHUM</t>
  </si>
  <si>
    <t>BANGKOK</t>
  </si>
  <si>
    <t>12130</t>
  </si>
  <si>
    <t>PATHUM THANI</t>
  </si>
  <si>
    <t>65000</t>
  </si>
  <si>
    <t>SAMUT SAKORN</t>
  </si>
  <si>
    <t>KRABI</t>
  </si>
  <si>
    <t>Quilt storage bag clothes packing bag 150L quilt clothing luggage bag</t>
  </si>
  <si>
    <t>2020-10-30 21:20:56</t>
  </si>
  <si>
    <t>THPSZFSC02QFY0000415214</t>
  </si>
  <si>
    <t>THPSZFSCBESTFY0000415205</t>
  </si>
  <si>
    <t>66850228074673</t>
  </si>
  <si>
    <t>อาร์ท</t>
  </si>
  <si>
    <t>948725462</t>
  </si>
  <si>
    <t>ที่อยู่ 77/8 หมุ่9 ตำบล/แขวง สวนหลวงอำเภอ/เขต กระทุ่มแบน,จังหวัด,สมุทรสาคร74110</t>
  </si>
  <si>
    <t>74110</t>
  </si>
  <si>
    <t>Underwear women gather no steel ring bra thin one-piece seamless adjustment type small bra summer</t>
  </si>
  <si>
    <t>0.359</t>
  </si>
  <si>
    <t>Krathum Baen</t>
  </si>
  <si>
    <t>Red Nail Polish Print Short Sleeve T-Shirt Round Neck Ladies Casual Top</t>
  </si>
  <si>
    <t>2020-10-30 21:20:57</t>
  </si>
  <si>
    <t>860041149505</t>
  </si>
  <si>
    <t>จีรวรรณ์ งามประเสริฐเดชา</t>
  </si>
  <si>
    <t>0818792422</t>
  </si>
  <si>
    <t>137 หมู่ 10 ตำบลบ้านเล่า อำเภอเมือง จังหวัดชัยภูมิ</t>
  </si>
  <si>
    <t>36000</t>
  </si>
  <si>
    <t>S-6XL Large Size Mesh Wireless Sports Bra Ladies Yoga Running Shockproof Sports Underwear</t>
  </si>
  <si>
    <t>0.067</t>
  </si>
  <si>
    <t>Mueang Chaiyaphum</t>
  </si>
  <si>
    <t>860041149542</t>
  </si>
  <si>
    <t>สายฝน ส่งทวน</t>
  </si>
  <si>
    <t>0980695504</t>
  </si>
  <si>
    <t>140 ม.5 ต.อ่าวนางอ.เมือง.</t>
  </si>
  <si>
    <t>81000</t>
  </si>
  <si>
    <t>Fresh daisy flower ponytail hair rope Japanese and Korean girls heart rubber band sweet wild color hitting hair tie</t>
  </si>
  <si>
    <t>0.017</t>
  </si>
  <si>
    <t>Mueang Krabi</t>
  </si>
  <si>
    <t>860041149516</t>
  </si>
  <si>
    <t>จอมใจ ศักดิลาภ</t>
  </si>
  <si>
    <t>0870620915</t>
  </si>
  <si>
    <t>233. ต.ประชาธิปปัตย์นครนายกรังสิต ซ.10.  สะพานแดง</t>
  </si>
  <si>
    <t>0.280</t>
  </si>
  <si>
    <t>Thanyaburi</t>
  </si>
  <si>
    <t>66850227075767</t>
  </si>
  <si>
    <t>เอกชัย ตรีทานยุทธ</t>
  </si>
  <si>
    <t>0632704640</t>
  </si>
  <si>
    <t>นิติบุคคลเวลลิงตัน1อาคาร6(ส่งนิติบุคลอาคาร4 )ห้อง28/649 ถ.เทียมร่วมมิตร เขตห้วยขวาง กรุงเทพ 10310 โทร 0632704640</t>
  </si>
  <si>
    <t>10310</t>
  </si>
  <si>
    <t>[4-pcs Set] Men's Korean-style Fashion Shoulder Bags, Waterproof and Wear-resistant</t>
  </si>
  <si>
    <t>2.134</t>
  </si>
  <si>
    <t>Huai Khwang</t>
  </si>
  <si>
    <t>[Five Pieces Set] Men's Bag Briefcase Europe and America Men's Business Handbag Shoulder Messenger Bag Casual Bag</t>
  </si>
  <si>
    <t>66850227074664</t>
  </si>
  <si>
    <t>ไพฑูรย์ อมดวง</t>
  </si>
  <si>
    <t>898571122</t>
  </si>
  <si>
    <t>114 ม.6 ต.จอมทอง</t>
  </si>
  <si>
    <t>Household Water Purifier</t>
  </si>
  <si>
    <t>0.386</t>
  </si>
  <si>
    <t>Mueang Phitsanulok</t>
  </si>
  <si>
    <t>860041226671</t>
  </si>
  <si>
    <t>สิรินทร์ บุญชู</t>
  </si>
  <si>
    <t>0966966663</t>
  </si>
  <si>
    <t>สิรินทร์ บุญชูที่อยู่: 9/20 หมู่บ้านเพอร์เฟคเพลส (รามอินทรา-วงเเหวน)ซอย01 กาญจนาภิเษก 5เเขวงสามวาตะวันตก เขตคลองสามวา กทม. 10510 โทร: 096-6966663</t>
  </si>
  <si>
    <t>10510</t>
  </si>
  <si>
    <t>Diamond Watch Case for Apple Watch Cover Series 5 4 3 2 1 38MM 42MM Iwatch Case 5 4 40mm 44mm Watch Accessories</t>
  </si>
  <si>
    <t>0.026</t>
  </si>
  <si>
    <t>Khet Khlong Sam Wa</t>
  </si>
  <si>
    <t>总运单号码</t>
    <phoneticPr fontId="3" type="noConversion"/>
  </si>
  <si>
    <t>参考编号</t>
    <phoneticPr fontId="3" type="noConversion"/>
  </si>
  <si>
    <t>SUN</t>
    <phoneticPr fontId="3" type="noConversion"/>
  </si>
  <si>
    <t>固定值</t>
    <phoneticPr fontId="3" type="noConversion"/>
  </si>
  <si>
    <t>固定值“SUN”</t>
    <phoneticPr fontId="3" type="noConversion"/>
  </si>
  <si>
    <t>Shopee</t>
    <phoneticPr fontId="3" type="noConversion"/>
  </si>
  <si>
    <t>固定值“Shopee”</t>
    <phoneticPr fontId="3" type="noConversion"/>
  </si>
  <si>
    <t>固定值“+86(0755)89351937”</t>
    <phoneticPr fontId="3" type="noConversion"/>
  </si>
  <si>
    <t>收件人</t>
    <phoneticPr fontId="3" type="noConversion"/>
  </si>
  <si>
    <t>收件电话</t>
    <phoneticPr fontId="3" type="noConversion"/>
  </si>
  <si>
    <t>收件地址</t>
    <phoneticPr fontId="3" type="noConversion"/>
  </si>
  <si>
    <t>收件邮编</t>
    <phoneticPr fontId="3" type="noConversion"/>
  </si>
  <si>
    <t>invoice英文品名</t>
    <phoneticPr fontId="3" type="noConversion"/>
  </si>
  <si>
    <t>invoice数量</t>
    <phoneticPr fontId="3" type="noConversion"/>
  </si>
  <si>
    <t>invoice单价</t>
    <phoneticPr fontId="3" type="noConversion"/>
  </si>
  <si>
    <t>invoice总价</t>
    <phoneticPr fontId="3" type="noConversion"/>
  </si>
  <si>
    <t>含两条以上invoice</t>
    <phoneticPr fontId="3" type="noConversion"/>
  </si>
  <si>
    <t>收费重</t>
    <phoneticPr fontId="3" type="noConversion"/>
  </si>
  <si>
    <t>出货时间</t>
    <phoneticPr fontId="3" type="noConversion"/>
  </si>
  <si>
    <t>invoice配货信息</t>
    <phoneticPr fontId="3" type="noConversion"/>
  </si>
  <si>
    <t>袋号</t>
    <phoneticPr fontId="3" type="noConversion"/>
  </si>
  <si>
    <t>运单号码</t>
    <phoneticPr fontId="3" type="noConversion"/>
  </si>
  <si>
    <t>收件城市</t>
    <phoneticPr fontId="3" type="noConversion"/>
  </si>
  <si>
    <t>收件州/省</t>
    <phoneticPr fontId="3" type="noConversion"/>
  </si>
  <si>
    <t>1、以invoice为维度，多行invoice即显示多行明细；</t>
    <phoneticPr fontId="3" type="noConversion"/>
  </si>
  <si>
    <r>
      <t>2</t>
    </r>
    <r>
      <rPr>
        <sz val="11"/>
        <rFont val="宋体"/>
        <family val="3"/>
        <charset val="134"/>
      </rPr>
      <t>、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</si>
</sst>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  <charset val="134"/>
    </font>
    <font>
      <sz val="11"/>
      <color indexed="8"/>
      <name val="宋体"/>
      <family val="3"/>
      <charset val="134"/>
      <scheme val="minor"/>
    </font>
    <font>
      <sz val="11"/>
      <name val="Calibri"/>
      <family val="2"/>
    </font>
    <font>
      <sz val="9"/>
      <name val="Calibri"/>
      <family val="2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0" borderId="0" xfId="0" applyFont="1"/>
    <xf numFmtId="0" fontId="2" fillId="0" borderId="0" xfId="0" applyFont="1"/>
    <xf numFmtId="0" fontId="4" fillId="2" borderId="0" xfId="0" applyFont="1" applyFill="1"/>
    <xf numFmtId="0" fontId="0" fillId="2" borderId="0" xfId="0" applyFill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F9CD-1841-4AC4-AEA2-D1EFA44ABA48}">
  <dimension ref="A1:AQ17"/>
  <sheetViews>
    <sheetView tabSelected="1" workbookViewId="0">
      <selection activeCell="U2" sqref="U2"/>
    </sheetView>
  </sheetViews>
  <sheetFormatPr defaultColWidth="9" defaultRowHeight="14.5"/>
  <cols>
    <col min="1" max="1" width="17.36328125" bestFit="1" customWidth="1"/>
    <col min="2" max="3" width="24.54296875" bestFit="1" customWidth="1"/>
    <col min="4" max="4" width="22.90625" bestFit="1" customWidth="1"/>
    <col min="5" max="5" width="12.90625" bestFit="1" customWidth="1"/>
    <col min="6" max="6" width="17.453125" bestFit="1" customWidth="1"/>
    <col min="7" max="7" width="17.36328125" bestFit="1" customWidth="1"/>
    <col min="8" max="8" width="20.7265625" bestFit="1" customWidth="1"/>
    <col min="9" max="9" width="26.90625" bestFit="1" customWidth="1"/>
    <col min="10" max="10" width="25.26953125" bestFit="1" customWidth="1"/>
    <col min="11" max="11" width="15.26953125" bestFit="1" customWidth="1"/>
    <col min="12" max="12" width="19.81640625" bestFit="1" customWidth="1"/>
    <col min="13" max="13" width="19.7265625" bestFit="1" customWidth="1"/>
    <col min="14" max="14" width="23.08984375" bestFit="1" customWidth="1"/>
    <col min="15" max="15" width="11" bestFit="1" customWidth="1"/>
    <col min="16" max="16" width="10.1796875" bestFit="1" customWidth="1"/>
    <col min="17" max="17" width="10.7265625" bestFit="1" customWidth="1"/>
    <col min="18" max="18" width="11.453125" bestFit="1" customWidth="1"/>
    <col min="19" max="19" width="12.90625" bestFit="1" customWidth="1"/>
    <col min="20" max="20" width="19.36328125" bestFit="1" customWidth="1"/>
    <col min="21" max="21" width="16.1796875" bestFit="1" customWidth="1"/>
    <col min="22" max="22" width="15" bestFit="1" customWidth="1"/>
    <col min="23" max="23" width="20.36328125" bestFit="1" customWidth="1"/>
    <col min="24" max="24" width="8.54296875" bestFit="1" customWidth="1"/>
    <col min="25" max="25" width="13.1796875" bestFit="1" customWidth="1"/>
    <col min="26" max="26" width="15.26953125" bestFit="1" customWidth="1"/>
    <col min="27" max="27" width="26" bestFit="1" customWidth="1"/>
    <col min="28" max="28" width="10.453125" bestFit="1" customWidth="1"/>
    <col min="29" max="29" width="10.90625" bestFit="1" customWidth="1"/>
    <col min="30" max="30" width="8.453125" bestFit="1" customWidth="1"/>
    <col min="31" max="31" width="17.90625" bestFit="1" customWidth="1"/>
    <col min="32" max="32" width="18.36328125" bestFit="1" customWidth="1"/>
    <col min="33" max="33" width="12.36328125" bestFit="1" customWidth="1"/>
    <col min="34" max="34" width="20.7265625" bestFit="1" customWidth="1"/>
    <col min="35" max="35" width="8.26953125" bestFit="1" customWidth="1"/>
    <col min="36" max="36" width="9.08984375" bestFit="1" customWidth="1"/>
    <col min="37" max="37" width="11.6328125" bestFit="1" customWidth="1"/>
    <col min="38" max="38" width="22" bestFit="1" customWidth="1"/>
    <col min="39" max="39" width="18.81640625" bestFit="1" customWidth="1"/>
    <col min="40" max="40" width="20.26953125" bestFit="1" customWidth="1"/>
    <col min="41" max="41" width="19.6328125" bestFit="1" customWidth="1"/>
    <col min="42" max="42" width="16.54296875" bestFit="1" customWidth="1"/>
    <col min="43" max="43" width="17.90625" bestFit="1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s="6" customFormat="1" ht="15">
      <c r="A2" s="5" t="s">
        <v>128</v>
      </c>
      <c r="B2" s="5" t="s">
        <v>149</v>
      </c>
      <c r="C2" s="5" t="s">
        <v>132</v>
      </c>
      <c r="D2" s="5" t="s">
        <v>134</v>
      </c>
      <c r="E2" s="5" t="s">
        <v>135</v>
      </c>
      <c r="F2" s="5" t="s">
        <v>131</v>
      </c>
      <c r="G2" s="5" t="s">
        <v>131</v>
      </c>
      <c r="H2" s="5" t="s">
        <v>131</v>
      </c>
      <c r="I2" s="5" t="s">
        <v>131</v>
      </c>
      <c r="J2" s="5" t="s">
        <v>136</v>
      </c>
      <c r="K2" s="5" t="s">
        <v>137</v>
      </c>
      <c r="L2" s="5" t="s">
        <v>138</v>
      </c>
      <c r="M2" s="5" t="s">
        <v>131</v>
      </c>
      <c r="N2" s="5" t="s">
        <v>139</v>
      </c>
      <c r="O2" s="5" t="s">
        <v>131</v>
      </c>
      <c r="P2" s="5" t="s">
        <v>140</v>
      </c>
      <c r="Q2" s="5" t="s">
        <v>141</v>
      </c>
      <c r="R2" s="5" t="s">
        <v>142</v>
      </c>
      <c r="S2" s="5" t="s">
        <v>143</v>
      </c>
      <c r="T2" s="5" t="s">
        <v>144</v>
      </c>
      <c r="U2" s="5" t="s">
        <v>131</v>
      </c>
      <c r="V2" s="5" t="s">
        <v>131</v>
      </c>
      <c r="W2" s="5" t="s">
        <v>145</v>
      </c>
      <c r="X2" s="5" t="s">
        <v>131</v>
      </c>
      <c r="Y2" s="5" t="s">
        <v>131</v>
      </c>
      <c r="Z2" s="5" t="s">
        <v>146</v>
      </c>
      <c r="AA2" s="5" t="s">
        <v>146</v>
      </c>
      <c r="AB2" s="5" t="s">
        <v>131</v>
      </c>
      <c r="AC2" s="5" t="s">
        <v>147</v>
      </c>
      <c r="AD2" s="5" t="s">
        <v>148</v>
      </c>
      <c r="AE2" s="5" t="s">
        <v>129</v>
      </c>
      <c r="AF2" s="5" t="s">
        <v>131</v>
      </c>
      <c r="AG2" s="5" t="s">
        <v>131</v>
      </c>
      <c r="AH2" s="5" t="s">
        <v>147</v>
      </c>
      <c r="AI2" s="5" t="s">
        <v>131</v>
      </c>
      <c r="AJ2" s="5" t="s">
        <v>131</v>
      </c>
      <c r="AK2" s="5" t="s">
        <v>131</v>
      </c>
      <c r="AL2" s="5" t="s">
        <v>131</v>
      </c>
      <c r="AM2" s="5" t="s">
        <v>150</v>
      </c>
      <c r="AN2" s="5" t="s">
        <v>151</v>
      </c>
      <c r="AO2" s="5" t="s">
        <v>131</v>
      </c>
      <c r="AP2" s="5" t="s">
        <v>131</v>
      </c>
      <c r="AQ2" s="5" t="s">
        <v>131</v>
      </c>
    </row>
    <row r="3" spans="1:43">
      <c r="A3" t="s">
        <v>43</v>
      </c>
      <c r="B3" t="s">
        <v>72</v>
      </c>
      <c r="C3" s="1" t="s">
        <v>130</v>
      </c>
      <c r="D3" s="1" t="s">
        <v>133</v>
      </c>
      <c r="E3" s="1" t="s">
        <v>46</v>
      </c>
      <c r="F3" s="1" t="s">
        <v>47</v>
      </c>
      <c r="G3" s="1" t="s">
        <v>48</v>
      </c>
      <c r="H3" s="1" t="s">
        <v>49</v>
      </c>
      <c r="J3" t="s">
        <v>73</v>
      </c>
      <c r="K3" t="s">
        <v>74</v>
      </c>
      <c r="L3" t="s">
        <v>75</v>
      </c>
      <c r="M3" t="s">
        <v>50</v>
      </c>
      <c r="N3" t="s">
        <v>76</v>
      </c>
      <c r="O3" t="s">
        <v>51</v>
      </c>
      <c r="P3" t="s">
        <v>77</v>
      </c>
      <c r="Q3">
        <v>2</v>
      </c>
      <c r="R3">
        <v>159</v>
      </c>
      <c r="S3">
        <f t="shared" ref="S3:S13" si="0">Q3*R3</f>
        <v>318</v>
      </c>
      <c r="T3" t="s">
        <v>52</v>
      </c>
      <c r="U3" t="s">
        <v>53</v>
      </c>
      <c r="V3">
        <v>1</v>
      </c>
      <c r="W3" t="s">
        <v>78</v>
      </c>
      <c r="X3">
        <v>0</v>
      </c>
      <c r="Y3" t="s">
        <v>50</v>
      </c>
      <c r="Z3" t="s">
        <v>69</v>
      </c>
      <c r="AA3" t="s">
        <v>69</v>
      </c>
      <c r="AB3">
        <v>0</v>
      </c>
      <c r="AC3" t="s">
        <v>77</v>
      </c>
      <c r="AD3" t="s">
        <v>71</v>
      </c>
      <c r="AE3" t="s">
        <v>72</v>
      </c>
      <c r="AF3" s="1" t="s">
        <v>54</v>
      </c>
      <c r="AG3">
        <v>0</v>
      </c>
      <c r="AH3" t="s">
        <v>77</v>
      </c>
      <c r="AI3" s="1" t="s">
        <v>44</v>
      </c>
      <c r="AJ3">
        <v>0</v>
      </c>
      <c r="AK3" t="s">
        <v>55</v>
      </c>
      <c r="AL3" t="s">
        <v>56</v>
      </c>
      <c r="AM3" t="s">
        <v>79</v>
      </c>
      <c r="AN3" t="s">
        <v>66</v>
      </c>
      <c r="AO3" t="s">
        <v>56</v>
      </c>
      <c r="AP3" s="2" t="s">
        <v>57</v>
      </c>
      <c r="AQ3" s="1" t="s">
        <v>58</v>
      </c>
    </row>
    <row r="4" spans="1:43">
      <c r="A4" t="s">
        <v>43</v>
      </c>
      <c r="B4" t="s">
        <v>72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J4" t="s">
        <v>73</v>
      </c>
      <c r="K4" t="s">
        <v>74</v>
      </c>
      <c r="L4" t="s">
        <v>75</v>
      </c>
      <c r="M4" t="s">
        <v>50</v>
      </c>
      <c r="N4" t="s">
        <v>76</v>
      </c>
      <c r="O4" t="s">
        <v>51</v>
      </c>
      <c r="P4" t="s">
        <v>80</v>
      </c>
      <c r="Q4">
        <v>1</v>
      </c>
      <c r="R4">
        <v>159</v>
      </c>
      <c r="S4">
        <f t="shared" si="0"/>
        <v>159</v>
      </c>
      <c r="T4" t="s">
        <v>59</v>
      </c>
      <c r="U4" t="s">
        <v>53</v>
      </c>
      <c r="V4">
        <v>1</v>
      </c>
      <c r="W4" t="s">
        <v>78</v>
      </c>
      <c r="X4">
        <v>0</v>
      </c>
      <c r="Y4" t="s">
        <v>50</v>
      </c>
      <c r="Z4" t="s">
        <v>69</v>
      </c>
      <c r="AA4" t="s">
        <v>69</v>
      </c>
      <c r="AB4">
        <v>0</v>
      </c>
      <c r="AC4" t="s">
        <v>80</v>
      </c>
      <c r="AD4" t="s">
        <v>71</v>
      </c>
      <c r="AE4" t="s">
        <v>72</v>
      </c>
      <c r="AF4" s="1" t="s">
        <v>54</v>
      </c>
      <c r="AG4">
        <v>0</v>
      </c>
      <c r="AH4" t="s">
        <v>80</v>
      </c>
      <c r="AI4" s="1" t="s">
        <v>44</v>
      </c>
      <c r="AJ4">
        <v>0</v>
      </c>
      <c r="AK4" t="s">
        <v>55</v>
      </c>
      <c r="AL4" t="s">
        <v>56</v>
      </c>
      <c r="AM4" t="s">
        <v>79</v>
      </c>
      <c r="AN4" t="s">
        <v>66</v>
      </c>
      <c r="AO4" t="s">
        <v>56</v>
      </c>
      <c r="AP4" s="2" t="s">
        <v>57</v>
      </c>
      <c r="AQ4" s="1" t="s">
        <v>58</v>
      </c>
    </row>
    <row r="5" spans="1:43">
      <c r="A5" t="s">
        <v>43</v>
      </c>
      <c r="B5" t="s">
        <v>72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J5" t="s">
        <v>73</v>
      </c>
      <c r="K5" t="s">
        <v>74</v>
      </c>
      <c r="L5" t="s">
        <v>75</v>
      </c>
      <c r="M5" t="s">
        <v>50</v>
      </c>
      <c r="N5" t="s">
        <v>76</v>
      </c>
      <c r="O5" t="s">
        <v>51</v>
      </c>
      <c r="P5" t="s">
        <v>77</v>
      </c>
      <c r="Q5">
        <v>1</v>
      </c>
      <c r="R5">
        <v>159</v>
      </c>
      <c r="S5">
        <f t="shared" si="0"/>
        <v>159</v>
      </c>
      <c r="T5" t="s">
        <v>59</v>
      </c>
      <c r="U5" t="s">
        <v>53</v>
      </c>
      <c r="V5">
        <v>1</v>
      </c>
      <c r="W5" t="s">
        <v>78</v>
      </c>
      <c r="X5">
        <v>0</v>
      </c>
      <c r="Y5" t="s">
        <v>50</v>
      </c>
      <c r="Z5" t="s">
        <v>69</v>
      </c>
      <c r="AA5" t="s">
        <v>69</v>
      </c>
      <c r="AB5">
        <v>0</v>
      </c>
      <c r="AC5" t="s">
        <v>77</v>
      </c>
      <c r="AD5" t="s">
        <v>71</v>
      </c>
      <c r="AE5" t="s">
        <v>72</v>
      </c>
      <c r="AF5" s="1" t="s">
        <v>54</v>
      </c>
      <c r="AG5">
        <v>0</v>
      </c>
      <c r="AH5" t="s">
        <v>77</v>
      </c>
      <c r="AI5" s="1" t="s">
        <v>44</v>
      </c>
      <c r="AJ5">
        <v>0</v>
      </c>
      <c r="AK5" t="s">
        <v>55</v>
      </c>
      <c r="AL5" t="s">
        <v>56</v>
      </c>
      <c r="AM5" t="s">
        <v>79</v>
      </c>
      <c r="AN5" t="s">
        <v>66</v>
      </c>
      <c r="AO5" t="s">
        <v>56</v>
      </c>
      <c r="AP5" s="2" t="s">
        <v>57</v>
      </c>
      <c r="AQ5" s="1" t="s">
        <v>58</v>
      </c>
    </row>
    <row r="6" spans="1:43">
      <c r="A6" t="s">
        <v>43</v>
      </c>
      <c r="B6" t="s">
        <v>82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J6" t="s">
        <v>83</v>
      </c>
      <c r="K6" t="s">
        <v>84</v>
      </c>
      <c r="L6" t="s">
        <v>85</v>
      </c>
      <c r="M6" t="s">
        <v>50</v>
      </c>
      <c r="N6" t="s">
        <v>86</v>
      </c>
      <c r="O6" t="s">
        <v>51</v>
      </c>
      <c r="P6" t="s">
        <v>87</v>
      </c>
      <c r="Q6">
        <v>1</v>
      </c>
      <c r="R6">
        <v>456</v>
      </c>
      <c r="S6">
        <f t="shared" si="0"/>
        <v>456</v>
      </c>
      <c r="T6" t="s">
        <v>59</v>
      </c>
      <c r="U6" t="s">
        <v>53</v>
      </c>
      <c r="V6">
        <v>1</v>
      </c>
      <c r="W6" t="s">
        <v>88</v>
      </c>
      <c r="X6">
        <v>0</v>
      </c>
      <c r="Y6" t="s">
        <v>50</v>
      </c>
      <c r="Z6" t="s">
        <v>81</v>
      </c>
      <c r="AA6" t="s">
        <v>81</v>
      </c>
      <c r="AB6">
        <v>0</v>
      </c>
      <c r="AC6" t="s">
        <v>87</v>
      </c>
      <c r="AD6" t="s">
        <v>70</v>
      </c>
      <c r="AE6" t="s">
        <v>82</v>
      </c>
      <c r="AF6" s="1" t="s">
        <v>54</v>
      </c>
      <c r="AG6">
        <v>0</v>
      </c>
      <c r="AH6" t="s">
        <v>87</v>
      </c>
      <c r="AI6" s="1" t="s">
        <v>44</v>
      </c>
      <c r="AJ6">
        <v>0</v>
      </c>
      <c r="AK6" t="s">
        <v>55</v>
      </c>
      <c r="AL6" t="s">
        <v>56</v>
      </c>
      <c r="AM6" t="s">
        <v>89</v>
      </c>
      <c r="AN6" t="s">
        <v>61</v>
      </c>
      <c r="AO6" t="s">
        <v>56</v>
      </c>
      <c r="AP6" s="2" t="s">
        <v>57</v>
      </c>
      <c r="AQ6" s="1" t="s">
        <v>58</v>
      </c>
    </row>
    <row r="7" spans="1:43">
      <c r="A7" t="s">
        <v>43</v>
      </c>
      <c r="B7" t="s">
        <v>90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J7" t="s">
        <v>91</v>
      </c>
      <c r="K7" t="s">
        <v>92</v>
      </c>
      <c r="L7" t="s">
        <v>93</v>
      </c>
      <c r="M7" t="s">
        <v>50</v>
      </c>
      <c r="N7" t="s">
        <v>94</v>
      </c>
      <c r="O7" t="s">
        <v>51</v>
      </c>
      <c r="P7" t="s">
        <v>95</v>
      </c>
      <c r="Q7">
        <v>1</v>
      </c>
      <c r="R7">
        <v>388</v>
      </c>
      <c r="S7">
        <f t="shared" si="0"/>
        <v>388</v>
      </c>
      <c r="T7" t="s">
        <v>59</v>
      </c>
      <c r="U7" t="s">
        <v>53</v>
      </c>
      <c r="V7">
        <v>1</v>
      </c>
      <c r="W7" t="s">
        <v>96</v>
      </c>
      <c r="X7">
        <v>0</v>
      </c>
      <c r="Y7" t="s">
        <v>50</v>
      </c>
      <c r="Z7" t="s">
        <v>81</v>
      </c>
      <c r="AA7" t="s">
        <v>81</v>
      </c>
      <c r="AB7">
        <v>0</v>
      </c>
      <c r="AC7" t="s">
        <v>95</v>
      </c>
      <c r="AD7" t="s">
        <v>70</v>
      </c>
      <c r="AE7" t="s">
        <v>90</v>
      </c>
      <c r="AF7" s="1" t="s">
        <v>54</v>
      </c>
      <c r="AG7">
        <v>0</v>
      </c>
      <c r="AH7" t="s">
        <v>95</v>
      </c>
      <c r="AI7" s="1" t="s">
        <v>44</v>
      </c>
      <c r="AJ7">
        <v>0</v>
      </c>
      <c r="AK7" t="s">
        <v>55</v>
      </c>
      <c r="AL7" t="s">
        <v>56</v>
      </c>
      <c r="AM7" t="s">
        <v>97</v>
      </c>
      <c r="AN7" t="s">
        <v>67</v>
      </c>
      <c r="AO7" t="s">
        <v>56</v>
      </c>
      <c r="AP7" s="2" t="s">
        <v>57</v>
      </c>
      <c r="AQ7" s="1" t="s">
        <v>58</v>
      </c>
    </row>
    <row r="8" spans="1:43">
      <c r="A8" t="s">
        <v>43</v>
      </c>
      <c r="B8" t="s">
        <v>98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49</v>
      </c>
      <c r="J8" t="s">
        <v>99</v>
      </c>
      <c r="K8" t="s">
        <v>100</v>
      </c>
      <c r="L8" t="s">
        <v>101</v>
      </c>
      <c r="M8" t="s">
        <v>50</v>
      </c>
      <c r="N8" t="s">
        <v>63</v>
      </c>
      <c r="O8" t="s">
        <v>51</v>
      </c>
      <c r="P8" t="s">
        <v>68</v>
      </c>
      <c r="Q8">
        <v>1</v>
      </c>
      <c r="R8">
        <v>533</v>
      </c>
      <c r="S8">
        <f t="shared" si="0"/>
        <v>533</v>
      </c>
      <c r="T8" t="s">
        <v>59</v>
      </c>
      <c r="U8" t="s">
        <v>53</v>
      </c>
      <c r="V8">
        <v>1</v>
      </c>
      <c r="W8" t="s">
        <v>102</v>
      </c>
      <c r="X8">
        <v>0</v>
      </c>
      <c r="Y8" t="s">
        <v>50</v>
      </c>
      <c r="Z8" t="s">
        <v>81</v>
      </c>
      <c r="AA8" t="s">
        <v>81</v>
      </c>
      <c r="AB8">
        <v>0</v>
      </c>
      <c r="AC8" t="s">
        <v>68</v>
      </c>
      <c r="AD8" t="s">
        <v>70</v>
      </c>
      <c r="AE8" t="s">
        <v>98</v>
      </c>
      <c r="AF8" s="1" t="s">
        <v>54</v>
      </c>
      <c r="AG8">
        <v>0</v>
      </c>
      <c r="AH8" t="s">
        <v>68</v>
      </c>
      <c r="AI8" s="1" t="s">
        <v>44</v>
      </c>
      <c r="AJ8">
        <v>0</v>
      </c>
      <c r="AK8" t="s">
        <v>55</v>
      </c>
      <c r="AL8" t="s">
        <v>56</v>
      </c>
      <c r="AM8" t="s">
        <v>103</v>
      </c>
      <c r="AN8" t="s">
        <v>64</v>
      </c>
      <c r="AO8" t="s">
        <v>56</v>
      </c>
      <c r="AP8" s="2" t="s">
        <v>57</v>
      </c>
      <c r="AQ8" s="1" t="s">
        <v>58</v>
      </c>
    </row>
    <row r="9" spans="1:43">
      <c r="A9" t="s">
        <v>43</v>
      </c>
      <c r="B9" t="s">
        <v>104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J9" t="s">
        <v>105</v>
      </c>
      <c r="K9" t="s">
        <v>106</v>
      </c>
      <c r="L9" t="s">
        <v>107</v>
      </c>
      <c r="M9" t="s">
        <v>50</v>
      </c>
      <c r="N9" t="s">
        <v>108</v>
      </c>
      <c r="O9" t="s">
        <v>51</v>
      </c>
      <c r="P9" t="s">
        <v>109</v>
      </c>
      <c r="Q9">
        <v>1</v>
      </c>
      <c r="R9">
        <v>310</v>
      </c>
      <c r="S9">
        <f t="shared" si="0"/>
        <v>310</v>
      </c>
      <c r="T9" t="s">
        <v>59</v>
      </c>
      <c r="U9" t="s">
        <v>53</v>
      </c>
      <c r="V9">
        <v>1</v>
      </c>
      <c r="W9" t="s">
        <v>110</v>
      </c>
      <c r="X9">
        <v>0</v>
      </c>
      <c r="Y9" t="s">
        <v>50</v>
      </c>
      <c r="Z9" t="s">
        <v>81</v>
      </c>
      <c r="AA9" t="s">
        <v>81</v>
      </c>
      <c r="AB9">
        <v>0</v>
      </c>
      <c r="AC9" t="s">
        <v>109</v>
      </c>
      <c r="AD9" t="s">
        <v>71</v>
      </c>
      <c r="AE9" t="s">
        <v>104</v>
      </c>
      <c r="AF9" s="1" t="s">
        <v>54</v>
      </c>
      <c r="AG9">
        <v>0</v>
      </c>
      <c r="AH9" t="s">
        <v>109</v>
      </c>
      <c r="AI9" s="1" t="s">
        <v>44</v>
      </c>
      <c r="AJ9">
        <v>0</v>
      </c>
      <c r="AK9" t="s">
        <v>55</v>
      </c>
      <c r="AL9" t="s">
        <v>56</v>
      </c>
      <c r="AM9" t="s">
        <v>111</v>
      </c>
      <c r="AN9" t="s">
        <v>62</v>
      </c>
      <c r="AO9" t="s">
        <v>56</v>
      </c>
      <c r="AP9" s="2" t="s">
        <v>57</v>
      </c>
      <c r="AQ9" s="1" t="s">
        <v>58</v>
      </c>
    </row>
    <row r="10" spans="1:43">
      <c r="A10" t="s">
        <v>43</v>
      </c>
      <c r="B10" t="s">
        <v>104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  <c r="H10" s="1" t="s">
        <v>49</v>
      </c>
      <c r="J10" t="s">
        <v>105</v>
      </c>
      <c r="K10" t="s">
        <v>106</v>
      </c>
      <c r="L10" t="s">
        <v>107</v>
      </c>
      <c r="M10" t="s">
        <v>50</v>
      </c>
      <c r="N10" t="s">
        <v>108</v>
      </c>
      <c r="O10" t="s">
        <v>51</v>
      </c>
      <c r="P10" t="s">
        <v>112</v>
      </c>
      <c r="Q10">
        <v>1</v>
      </c>
      <c r="R10">
        <v>310</v>
      </c>
      <c r="S10">
        <f t="shared" si="0"/>
        <v>310</v>
      </c>
      <c r="T10" t="s">
        <v>59</v>
      </c>
      <c r="U10" t="s">
        <v>53</v>
      </c>
      <c r="V10">
        <v>1</v>
      </c>
      <c r="W10" t="s">
        <v>110</v>
      </c>
      <c r="X10">
        <v>0</v>
      </c>
      <c r="Y10" t="s">
        <v>50</v>
      </c>
      <c r="Z10" t="s">
        <v>81</v>
      </c>
      <c r="AA10" t="s">
        <v>81</v>
      </c>
      <c r="AB10">
        <v>0</v>
      </c>
      <c r="AC10" t="s">
        <v>112</v>
      </c>
      <c r="AD10" t="s">
        <v>71</v>
      </c>
      <c r="AE10" t="s">
        <v>104</v>
      </c>
      <c r="AF10" s="1" t="s">
        <v>54</v>
      </c>
      <c r="AG10">
        <v>0</v>
      </c>
      <c r="AH10" t="s">
        <v>112</v>
      </c>
      <c r="AI10" s="1" t="s">
        <v>44</v>
      </c>
      <c r="AJ10">
        <v>0</v>
      </c>
      <c r="AK10" t="s">
        <v>55</v>
      </c>
      <c r="AL10" t="s">
        <v>56</v>
      </c>
      <c r="AM10" t="s">
        <v>111</v>
      </c>
      <c r="AN10" t="s">
        <v>62</v>
      </c>
      <c r="AO10" t="s">
        <v>56</v>
      </c>
      <c r="AP10" s="2" t="s">
        <v>57</v>
      </c>
      <c r="AQ10" s="1" t="s">
        <v>58</v>
      </c>
    </row>
    <row r="11" spans="1:43">
      <c r="A11" t="s">
        <v>43</v>
      </c>
      <c r="B11" t="s">
        <v>113</v>
      </c>
      <c r="C11" s="1" t="s">
        <v>44</v>
      </c>
      <c r="D11" s="1" t="s">
        <v>45</v>
      </c>
      <c r="E11" s="1" t="s">
        <v>46</v>
      </c>
      <c r="F11" s="1" t="s">
        <v>47</v>
      </c>
      <c r="G11" s="1" t="s">
        <v>48</v>
      </c>
      <c r="H11" s="1" t="s">
        <v>49</v>
      </c>
      <c r="J11" t="s">
        <v>114</v>
      </c>
      <c r="K11" t="s">
        <v>115</v>
      </c>
      <c r="L11" t="s">
        <v>116</v>
      </c>
      <c r="M11" t="s">
        <v>50</v>
      </c>
      <c r="N11" t="s">
        <v>65</v>
      </c>
      <c r="O11" t="s">
        <v>51</v>
      </c>
      <c r="P11" t="s">
        <v>117</v>
      </c>
      <c r="Q11">
        <v>1</v>
      </c>
      <c r="R11">
        <v>553</v>
      </c>
      <c r="S11">
        <f t="shared" si="0"/>
        <v>553</v>
      </c>
      <c r="T11" t="s">
        <v>59</v>
      </c>
      <c r="U11" t="s">
        <v>53</v>
      </c>
      <c r="V11">
        <v>1</v>
      </c>
      <c r="W11" t="s">
        <v>118</v>
      </c>
      <c r="X11">
        <v>0</v>
      </c>
      <c r="Y11" t="s">
        <v>50</v>
      </c>
      <c r="Z11" t="s">
        <v>81</v>
      </c>
      <c r="AA11" t="s">
        <v>81</v>
      </c>
      <c r="AB11">
        <v>0</v>
      </c>
      <c r="AC11" t="s">
        <v>117</v>
      </c>
      <c r="AD11" t="s">
        <v>71</v>
      </c>
      <c r="AE11" t="s">
        <v>113</v>
      </c>
      <c r="AF11" s="1" t="s">
        <v>54</v>
      </c>
      <c r="AG11">
        <v>0</v>
      </c>
      <c r="AH11" t="s">
        <v>117</v>
      </c>
      <c r="AI11" s="1" t="s">
        <v>44</v>
      </c>
      <c r="AJ11">
        <v>0</v>
      </c>
      <c r="AK11" t="s">
        <v>55</v>
      </c>
      <c r="AL11" t="s">
        <v>56</v>
      </c>
      <c r="AM11" t="s">
        <v>119</v>
      </c>
      <c r="AN11" t="s">
        <v>60</v>
      </c>
      <c r="AO11" t="s">
        <v>56</v>
      </c>
      <c r="AP11" s="2" t="s">
        <v>57</v>
      </c>
      <c r="AQ11" s="1" t="s">
        <v>58</v>
      </c>
    </row>
    <row r="12" spans="1:43">
      <c r="A12" t="s">
        <v>43</v>
      </c>
      <c r="B12" t="s">
        <v>120</v>
      </c>
      <c r="C12" s="1" t="s">
        <v>44</v>
      </c>
      <c r="D12" s="1" t="s">
        <v>45</v>
      </c>
      <c r="E12" s="1" t="s">
        <v>46</v>
      </c>
      <c r="F12" s="1" t="s">
        <v>47</v>
      </c>
      <c r="G12" s="1" t="s">
        <v>48</v>
      </c>
      <c r="H12" s="1" t="s">
        <v>49</v>
      </c>
      <c r="J12" t="s">
        <v>121</v>
      </c>
      <c r="K12" t="s">
        <v>122</v>
      </c>
      <c r="L12" t="s">
        <v>123</v>
      </c>
      <c r="M12" t="s">
        <v>50</v>
      </c>
      <c r="N12" t="s">
        <v>124</v>
      </c>
      <c r="O12" t="s">
        <v>51</v>
      </c>
      <c r="P12" t="s">
        <v>125</v>
      </c>
      <c r="Q12">
        <v>1</v>
      </c>
      <c r="R12">
        <v>257</v>
      </c>
      <c r="S12">
        <f t="shared" si="0"/>
        <v>257</v>
      </c>
      <c r="T12" t="s">
        <v>59</v>
      </c>
      <c r="U12" t="s">
        <v>53</v>
      </c>
      <c r="V12">
        <v>1</v>
      </c>
      <c r="W12" t="s">
        <v>126</v>
      </c>
      <c r="X12">
        <v>0</v>
      </c>
      <c r="Y12" t="s">
        <v>50</v>
      </c>
      <c r="Z12" t="s">
        <v>81</v>
      </c>
      <c r="AA12" t="s">
        <v>81</v>
      </c>
      <c r="AB12">
        <v>0</v>
      </c>
      <c r="AC12" t="s">
        <v>125</v>
      </c>
      <c r="AD12" t="s">
        <v>70</v>
      </c>
      <c r="AE12" t="s">
        <v>120</v>
      </c>
      <c r="AF12" s="1" t="s">
        <v>54</v>
      </c>
      <c r="AG12">
        <v>0</v>
      </c>
      <c r="AH12" t="s">
        <v>125</v>
      </c>
      <c r="AI12" s="1" t="s">
        <v>44</v>
      </c>
      <c r="AJ12">
        <v>0</v>
      </c>
      <c r="AK12" t="s">
        <v>55</v>
      </c>
      <c r="AL12" t="s">
        <v>56</v>
      </c>
      <c r="AM12" t="s">
        <v>127</v>
      </c>
      <c r="AN12" t="s">
        <v>62</v>
      </c>
      <c r="AO12" t="s">
        <v>56</v>
      </c>
      <c r="AP12" s="2" t="s">
        <v>57</v>
      </c>
      <c r="AQ12" s="1" t="s">
        <v>58</v>
      </c>
    </row>
    <row r="13" spans="1:43">
      <c r="A13" t="s">
        <v>43</v>
      </c>
      <c r="B13" t="s">
        <v>120</v>
      </c>
      <c r="C13" s="1" t="s">
        <v>44</v>
      </c>
      <c r="D13" s="1" t="s">
        <v>45</v>
      </c>
      <c r="E13" s="1" t="s">
        <v>46</v>
      </c>
      <c r="F13" s="1" t="s">
        <v>47</v>
      </c>
      <c r="G13" s="1" t="s">
        <v>48</v>
      </c>
      <c r="H13" s="1" t="s">
        <v>49</v>
      </c>
      <c r="J13" t="s">
        <v>121</v>
      </c>
      <c r="K13" t="s">
        <v>122</v>
      </c>
      <c r="L13" t="s">
        <v>123</v>
      </c>
      <c r="M13" t="s">
        <v>50</v>
      </c>
      <c r="N13" t="s">
        <v>124</v>
      </c>
      <c r="O13" t="s">
        <v>51</v>
      </c>
      <c r="P13" t="s">
        <v>125</v>
      </c>
      <c r="Q13">
        <v>1</v>
      </c>
      <c r="R13">
        <v>257</v>
      </c>
      <c r="S13">
        <f t="shared" si="0"/>
        <v>257</v>
      </c>
      <c r="T13" t="s">
        <v>59</v>
      </c>
      <c r="U13" t="s">
        <v>53</v>
      </c>
      <c r="V13">
        <v>1</v>
      </c>
      <c r="W13" t="s">
        <v>126</v>
      </c>
      <c r="X13">
        <v>0</v>
      </c>
      <c r="Y13" t="s">
        <v>50</v>
      </c>
      <c r="Z13" t="s">
        <v>81</v>
      </c>
      <c r="AA13" t="s">
        <v>81</v>
      </c>
      <c r="AB13">
        <v>0</v>
      </c>
      <c r="AC13" t="s">
        <v>125</v>
      </c>
      <c r="AD13" t="s">
        <v>70</v>
      </c>
      <c r="AE13" t="s">
        <v>120</v>
      </c>
      <c r="AF13" s="1" t="s">
        <v>54</v>
      </c>
      <c r="AG13">
        <v>0</v>
      </c>
      <c r="AH13" t="s">
        <v>125</v>
      </c>
      <c r="AI13" s="1" t="s">
        <v>44</v>
      </c>
      <c r="AJ13">
        <v>0</v>
      </c>
      <c r="AK13" t="s">
        <v>55</v>
      </c>
      <c r="AL13" t="s">
        <v>56</v>
      </c>
      <c r="AM13" t="s">
        <v>127</v>
      </c>
      <c r="AN13" t="s">
        <v>62</v>
      </c>
      <c r="AO13" t="s">
        <v>56</v>
      </c>
      <c r="AP13" s="2" t="s">
        <v>57</v>
      </c>
      <c r="AQ13" s="1" t="s">
        <v>58</v>
      </c>
    </row>
    <row r="16" spans="1:43" ht="15">
      <c r="A16" s="3" t="s">
        <v>152</v>
      </c>
    </row>
    <row r="17" spans="1:1" ht="15">
      <c r="A17" s="4" t="s">
        <v>153</v>
      </c>
    </row>
  </sheetData>
  <autoFilter ref="A1:AQ13" xr:uid="{00000000-0009-0000-0000-000000000000}"/>
  <phoneticPr fontId="3" type="noConversion"/>
  <conditionalFormatting sqref="B1:B1048576">
    <cfRule type="duplicateValues" dxfId="1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239C-E390-49F9-9502-253A73BFFD60}">
  <dimension ref="A1:AQ12"/>
  <sheetViews>
    <sheetView workbookViewId="0">
      <selection activeCell="B19" sqref="B19"/>
    </sheetView>
  </sheetViews>
  <sheetFormatPr defaultColWidth="9" defaultRowHeight="14.5"/>
  <cols>
    <col min="1" max="1" width="19.1796875" customWidth="1"/>
    <col min="2" max="2" width="24.54296875" bestFit="1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 t="s">
        <v>72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  <c r="J2" t="s">
        <v>73</v>
      </c>
      <c r="K2" t="s">
        <v>74</v>
      </c>
      <c r="L2" t="s">
        <v>75</v>
      </c>
      <c r="M2" t="s">
        <v>50</v>
      </c>
      <c r="N2" t="s">
        <v>76</v>
      </c>
      <c r="O2" t="s">
        <v>51</v>
      </c>
      <c r="P2" t="s">
        <v>77</v>
      </c>
      <c r="Q2">
        <v>2</v>
      </c>
      <c r="R2">
        <v>159</v>
      </c>
      <c r="S2">
        <f t="shared" ref="S2:S12" si="0">Q2*R2</f>
        <v>318</v>
      </c>
      <c r="T2" t="s">
        <v>52</v>
      </c>
      <c r="U2" t="s">
        <v>53</v>
      </c>
      <c r="V2">
        <v>1</v>
      </c>
      <c r="W2" t="s">
        <v>78</v>
      </c>
      <c r="X2">
        <v>0</v>
      </c>
      <c r="Y2" t="s">
        <v>50</v>
      </c>
      <c r="Z2" t="s">
        <v>69</v>
      </c>
      <c r="AA2" t="s">
        <v>69</v>
      </c>
      <c r="AB2">
        <v>0</v>
      </c>
      <c r="AC2" t="s">
        <v>77</v>
      </c>
      <c r="AD2" t="s">
        <v>71</v>
      </c>
      <c r="AE2" t="s">
        <v>72</v>
      </c>
      <c r="AF2" s="1" t="s">
        <v>54</v>
      </c>
      <c r="AG2">
        <v>0</v>
      </c>
      <c r="AH2" t="s">
        <v>77</v>
      </c>
      <c r="AI2" s="1" t="s">
        <v>44</v>
      </c>
      <c r="AJ2">
        <v>0</v>
      </c>
      <c r="AK2" t="s">
        <v>55</v>
      </c>
      <c r="AL2" t="s">
        <v>56</v>
      </c>
      <c r="AM2" t="s">
        <v>79</v>
      </c>
      <c r="AN2" t="s">
        <v>66</v>
      </c>
      <c r="AO2" t="s">
        <v>56</v>
      </c>
      <c r="AP2" s="2" t="s">
        <v>57</v>
      </c>
      <c r="AQ2" s="1" t="s">
        <v>58</v>
      </c>
    </row>
    <row r="3" spans="1:43">
      <c r="A3" t="s">
        <v>43</v>
      </c>
      <c r="B3" t="s">
        <v>72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J3" t="s">
        <v>73</v>
      </c>
      <c r="K3" t="s">
        <v>74</v>
      </c>
      <c r="L3" t="s">
        <v>75</v>
      </c>
      <c r="M3" t="s">
        <v>50</v>
      </c>
      <c r="N3" t="s">
        <v>76</v>
      </c>
      <c r="O3" t="s">
        <v>51</v>
      </c>
      <c r="P3" t="s">
        <v>80</v>
      </c>
      <c r="Q3">
        <v>1</v>
      </c>
      <c r="R3">
        <v>159</v>
      </c>
      <c r="S3">
        <f t="shared" si="0"/>
        <v>159</v>
      </c>
      <c r="T3" t="s">
        <v>59</v>
      </c>
      <c r="U3" t="s">
        <v>53</v>
      </c>
      <c r="V3">
        <v>1</v>
      </c>
      <c r="W3" t="s">
        <v>78</v>
      </c>
      <c r="X3">
        <v>0</v>
      </c>
      <c r="Y3" t="s">
        <v>50</v>
      </c>
      <c r="Z3" t="s">
        <v>69</v>
      </c>
      <c r="AA3" t="s">
        <v>69</v>
      </c>
      <c r="AB3">
        <v>0</v>
      </c>
      <c r="AC3" t="s">
        <v>80</v>
      </c>
      <c r="AD3" t="s">
        <v>71</v>
      </c>
      <c r="AE3" t="s">
        <v>72</v>
      </c>
      <c r="AF3" s="1" t="s">
        <v>54</v>
      </c>
      <c r="AG3">
        <v>0</v>
      </c>
      <c r="AH3" t="s">
        <v>80</v>
      </c>
      <c r="AI3" s="1" t="s">
        <v>44</v>
      </c>
      <c r="AJ3">
        <v>0</v>
      </c>
      <c r="AK3" t="s">
        <v>55</v>
      </c>
      <c r="AL3" t="s">
        <v>56</v>
      </c>
      <c r="AM3" t="s">
        <v>79</v>
      </c>
      <c r="AN3" t="s">
        <v>66</v>
      </c>
      <c r="AO3" t="s">
        <v>56</v>
      </c>
      <c r="AP3" s="2" t="s">
        <v>57</v>
      </c>
      <c r="AQ3" s="1" t="s">
        <v>58</v>
      </c>
    </row>
    <row r="4" spans="1:43">
      <c r="A4" t="s">
        <v>43</v>
      </c>
      <c r="B4" t="s">
        <v>72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J4" t="s">
        <v>73</v>
      </c>
      <c r="K4" t="s">
        <v>74</v>
      </c>
      <c r="L4" t="s">
        <v>75</v>
      </c>
      <c r="M4" t="s">
        <v>50</v>
      </c>
      <c r="N4" t="s">
        <v>76</v>
      </c>
      <c r="O4" t="s">
        <v>51</v>
      </c>
      <c r="P4" t="s">
        <v>77</v>
      </c>
      <c r="Q4">
        <v>1</v>
      </c>
      <c r="R4">
        <v>159</v>
      </c>
      <c r="S4">
        <f t="shared" si="0"/>
        <v>159</v>
      </c>
      <c r="T4" t="s">
        <v>59</v>
      </c>
      <c r="U4" t="s">
        <v>53</v>
      </c>
      <c r="V4">
        <v>1</v>
      </c>
      <c r="W4" t="s">
        <v>78</v>
      </c>
      <c r="X4">
        <v>0</v>
      </c>
      <c r="Y4" t="s">
        <v>50</v>
      </c>
      <c r="Z4" t="s">
        <v>69</v>
      </c>
      <c r="AA4" t="s">
        <v>69</v>
      </c>
      <c r="AB4">
        <v>0</v>
      </c>
      <c r="AC4" t="s">
        <v>77</v>
      </c>
      <c r="AD4" t="s">
        <v>71</v>
      </c>
      <c r="AE4" t="s">
        <v>72</v>
      </c>
      <c r="AF4" s="1" t="s">
        <v>54</v>
      </c>
      <c r="AG4">
        <v>0</v>
      </c>
      <c r="AH4" t="s">
        <v>77</v>
      </c>
      <c r="AI4" s="1" t="s">
        <v>44</v>
      </c>
      <c r="AJ4">
        <v>0</v>
      </c>
      <c r="AK4" t="s">
        <v>55</v>
      </c>
      <c r="AL4" t="s">
        <v>56</v>
      </c>
      <c r="AM4" t="s">
        <v>79</v>
      </c>
      <c r="AN4" t="s">
        <v>66</v>
      </c>
      <c r="AO4" t="s">
        <v>56</v>
      </c>
      <c r="AP4" s="2" t="s">
        <v>57</v>
      </c>
      <c r="AQ4" s="1" t="s">
        <v>58</v>
      </c>
    </row>
    <row r="5" spans="1:43">
      <c r="A5" t="s">
        <v>43</v>
      </c>
      <c r="B5" t="s">
        <v>82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J5" t="s">
        <v>83</v>
      </c>
      <c r="K5" t="s">
        <v>84</v>
      </c>
      <c r="L5" t="s">
        <v>85</v>
      </c>
      <c r="M5" t="s">
        <v>50</v>
      </c>
      <c r="N5" t="s">
        <v>86</v>
      </c>
      <c r="O5" t="s">
        <v>51</v>
      </c>
      <c r="P5" t="s">
        <v>87</v>
      </c>
      <c r="Q5">
        <v>1</v>
      </c>
      <c r="R5">
        <v>456</v>
      </c>
      <c r="S5">
        <f t="shared" si="0"/>
        <v>456</v>
      </c>
      <c r="T5" t="s">
        <v>59</v>
      </c>
      <c r="U5" t="s">
        <v>53</v>
      </c>
      <c r="V5">
        <v>1</v>
      </c>
      <c r="W5" t="s">
        <v>88</v>
      </c>
      <c r="X5">
        <v>0</v>
      </c>
      <c r="Y5" t="s">
        <v>50</v>
      </c>
      <c r="Z5" t="s">
        <v>81</v>
      </c>
      <c r="AA5" t="s">
        <v>81</v>
      </c>
      <c r="AB5">
        <v>0</v>
      </c>
      <c r="AC5" t="s">
        <v>87</v>
      </c>
      <c r="AD5" t="s">
        <v>70</v>
      </c>
      <c r="AE5" t="s">
        <v>82</v>
      </c>
      <c r="AF5" s="1" t="s">
        <v>54</v>
      </c>
      <c r="AG5">
        <v>0</v>
      </c>
      <c r="AH5" t="s">
        <v>87</v>
      </c>
      <c r="AI5" s="1" t="s">
        <v>44</v>
      </c>
      <c r="AJ5">
        <v>0</v>
      </c>
      <c r="AK5" t="s">
        <v>55</v>
      </c>
      <c r="AL5" t="s">
        <v>56</v>
      </c>
      <c r="AM5" t="s">
        <v>89</v>
      </c>
      <c r="AN5" t="s">
        <v>61</v>
      </c>
      <c r="AO5" t="s">
        <v>56</v>
      </c>
      <c r="AP5" s="2" t="s">
        <v>57</v>
      </c>
      <c r="AQ5" s="1" t="s">
        <v>58</v>
      </c>
    </row>
    <row r="6" spans="1:43">
      <c r="A6" t="s">
        <v>43</v>
      </c>
      <c r="B6" t="s">
        <v>90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J6" t="s">
        <v>91</v>
      </c>
      <c r="K6" t="s">
        <v>92</v>
      </c>
      <c r="L6" t="s">
        <v>93</v>
      </c>
      <c r="M6" t="s">
        <v>50</v>
      </c>
      <c r="N6" t="s">
        <v>94</v>
      </c>
      <c r="O6" t="s">
        <v>51</v>
      </c>
      <c r="P6" t="s">
        <v>95</v>
      </c>
      <c r="Q6">
        <v>1</v>
      </c>
      <c r="R6">
        <v>388</v>
      </c>
      <c r="S6">
        <f t="shared" si="0"/>
        <v>388</v>
      </c>
      <c r="T6" t="s">
        <v>59</v>
      </c>
      <c r="U6" t="s">
        <v>53</v>
      </c>
      <c r="V6">
        <v>1</v>
      </c>
      <c r="W6" t="s">
        <v>96</v>
      </c>
      <c r="X6">
        <v>0</v>
      </c>
      <c r="Y6" t="s">
        <v>50</v>
      </c>
      <c r="Z6" t="s">
        <v>81</v>
      </c>
      <c r="AA6" t="s">
        <v>81</v>
      </c>
      <c r="AB6">
        <v>0</v>
      </c>
      <c r="AC6" t="s">
        <v>95</v>
      </c>
      <c r="AD6" t="s">
        <v>70</v>
      </c>
      <c r="AE6" t="s">
        <v>90</v>
      </c>
      <c r="AF6" s="1" t="s">
        <v>54</v>
      </c>
      <c r="AG6">
        <v>0</v>
      </c>
      <c r="AH6" t="s">
        <v>95</v>
      </c>
      <c r="AI6" s="1" t="s">
        <v>44</v>
      </c>
      <c r="AJ6">
        <v>0</v>
      </c>
      <c r="AK6" t="s">
        <v>55</v>
      </c>
      <c r="AL6" t="s">
        <v>56</v>
      </c>
      <c r="AM6" t="s">
        <v>97</v>
      </c>
      <c r="AN6" t="s">
        <v>67</v>
      </c>
      <c r="AO6" t="s">
        <v>56</v>
      </c>
      <c r="AP6" s="2" t="s">
        <v>57</v>
      </c>
      <c r="AQ6" s="1" t="s">
        <v>58</v>
      </c>
    </row>
    <row r="7" spans="1:43">
      <c r="A7" t="s">
        <v>43</v>
      </c>
      <c r="B7" t="s">
        <v>98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J7" t="s">
        <v>99</v>
      </c>
      <c r="K7" t="s">
        <v>100</v>
      </c>
      <c r="L7" t="s">
        <v>101</v>
      </c>
      <c r="M7" t="s">
        <v>50</v>
      </c>
      <c r="N7" t="s">
        <v>63</v>
      </c>
      <c r="O7" t="s">
        <v>51</v>
      </c>
      <c r="P7" t="s">
        <v>68</v>
      </c>
      <c r="Q7">
        <v>1</v>
      </c>
      <c r="R7">
        <v>533</v>
      </c>
      <c r="S7">
        <f t="shared" si="0"/>
        <v>533</v>
      </c>
      <c r="T7" t="s">
        <v>59</v>
      </c>
      <c r="U7" t="s">
        <v>53</v>
      </c>
      <c r="V7">
        <v>1</v>
      </c>
      <c r="W7" t="s">
        <v>102</v>
      </c>
      <c r="X7">
        <v>0</v>
      </c>
      <c r="Y7" t="s">
        <v>50</v>
      </c>
      <c r="Z7" t="s">
        <v>81</v>
      </c>
      <c r="AA7" t="s">
        <v>81</v>
      </c>
      <c r="AB7">
        <v>0</v>
      </c>
      <c r="AC7" t="s">
        <v>68</v>
      </c>
      <c r="AD7" t="s">
        <v>70</v>
      </c>
      <c r="AE7" t="s">
        <v>98</v>
      </c>
      <c r="AF7" s="1" t="s">
        <v>54</v>
      </c>
      <c r="AG7">
        <v>0</v>
      </c>
      <c r="AH7" t="s">
        <v>68</v>
      </c>
      <c r="AI7" s="1" t="s">
        <v>44</v>
      </c>
      <c r="AJ7">
        <v>0</v>
      </c>
      <c r="AK7" t="s">
        <v>55</v>
      </c>
      <c r="AL7" t="s">
        <v>56</v>
      </c>
      <c r="AM7" t="s">
        <v>103</v>
      </c>
      <c r="AN7" t="s">
        <v>64</v>
      </c>
      <c r="AO7" t="s">
        <v>56</v>
      </c>
      <c r="AP7" s="2" t="s">
        <v>57</v>
      </c>
      <c r="AQ7" s="1" t="s">
        <v>58</v>
      </c>
    </row>
    <row r="8" spans="1:43">
      <c r="A8" t="s">
        <v>43</v>
      </c>
      <c r="B8" t="s">
        <v>104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49</v>
      </c>
      <c r="J8" t="s">
        <v>105</v>
      </c>
      <c r="K8" t="s">
        <v>106</v>
      </c>
      <c r="L8" t="s">
        <v>107</v>
      </c>
      <c r="M8" t="s">
        <v>50</v>
      </c>
      <c r="N8" t="s">
        <v>108</v>
      </c>
      <c r="O8" t="s">
        <v>51</v>
      </c>
      <c r="P8" t="s">
        <v>109</v>
      </c>
      <c r="Q8">
        <v>1</v>
      </c>
      <c r="R8">
        <v>310</v>
      </c>
      <c r="S8">
        <f t="shared" si="0"/>
        <v>310</v>
      </c>
      <c r="T8" t="s">
        <v>59</v>
      </c>
      <c r="U8" t="s">
        <v>53</v>
      </c>
      <c r="V8">
        <v>1</v>
      </c>
      <c r="W8" t="s">
        <v>110</v>
      </c>
      <c r="X8">
        <v>0</v>
      </c>
      <c r="Y8" t="s">
        <v>50</v>
      </c>
      <c r="Z8" t="s">
        <v>81</v>
      </c>
      <c r="AA8" t="s">
        <v>81</v>
      </c>
      <c r="AB8">
        <v>0</v>
      </c>
      <c r="AC8" t="s">
        <v>109</v>
      </c>
      <c r="AD8" t="s">
        <v>71</v>
      </c>
      <c r="AE8" t="s">
        <v>104</v>
      </c>
      <c r="AF8" s="1" t="s">
        <v>54</v>
      </c>
      <c r="AG8">
        <v>0</v>
      </c>
      <c r="AH8" t="s">
        <v>109</v>
      </c>
      <c r="AI8" s="1" t="s">
        <v>44</v>
      </c>
      <c r="AJ8">
        <v>0</v>
      </c>
      <c r="AK8" t="s">
        <v>55</v>
      </c>
      <c r="AL8" t="s">
        <v>56</v>
      </c>
      <c r="AM8" t="s">
        <v>111</v>
      </c>
      <c r="AN8" t="s">
        <v>62</v>
      </c>
      <c r="AO8" t="s">
        <v>56</v>
      </c>
      <c r="AP8" s="2" t="s">
        <v>57</v>
      </c>
      <c r="AQ8" s="1" t="s">
        <v>58</v>
      </c>
    </row>
    <row r="9" spans="1:43">
      <c r="A9" t="s">
        <v>43</v>
      </c>
      <c r="B9" t="s">
        <v>104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J9" t="s">
        <v>105</v>
      </c>
      <c r="K9" t="s">
        <v>106</v>
      </c>
      <c r="L9" t="s">
        <v>107</v>
      </c>
      <c r="M9" t="s">
        <v>50</v>
      </c>
      <c r="N9" t="s">
        <v>108</v>
      </c>
      <c r="O9" t="s">
        <v>51</v>
      </c>
      <c r="P9" t="s">
        <v>112</v>
      </c>
      <c r="Q9">
        <v>1</v>
      </c>
      <c r="R9">
        <v>310</v>
      </c>
      <c r="S9">
        <f t="shared" si="0"/>
        <v>310</v>
      </c>
      <c r="T9" t="s">
        <v>59</v>
      </c>
      <c r="U9" t="s">
        <v>53</v>
      </c>
      <c r="V9">
        <v>1</v>
      </c>
      <c r="W9" t="s">
        <v>110</v>
      </c>
      <c r="X9">
        <v>0</v>
      </c>
      <c r="Y9" t="s">
        <v>50</v>
      </c>
      <c r="Z9" t="s">
        <v>81</v>
      </c>
      <c r="AA9" t="s">
        <v>81</v>
      </c>
      <c r="AB9">
        <v>0</v>
      </c>
      <c r="AC9" t="s">
        <v>112</v>
      </c>
      <c r="AD9" t="s">
        <v>71</v>
      </c>
      <c r="AE9" t="s">
        <v>104</v>
      </c>
      <c r="AF9" s="1" t="s">
        <v>54</v>
      </c>
      <c r="AG9">
        <v>0</v>
      </c>
      <c r="AH9" t="s">
        <v>112</v>
      </c>
      <c r="AI9" s="1" t="s">
        <v>44</v>
      </c>
      <c r="AJ9">
        <v>0</v>
      </c>
      <c r="AK9" t="s">
        <v>55</v>
      </c>
      <c r="AL9" t="s">
        <v>56</v>
      </c>
      <c r="AM9" t="s">
        <v>111</v>
      </c>
      <c r="AN9" t="s">
        <v>62</v>
      </c>
      <c r="AO9" t="s">
        <v>56</v>
      </c>
      <c r="AP9" s="2" t="s">
        <v>57</v>
      </c>
      <c r="AQ9" s="1" t="s">
        <v>58</v>
      </c>
    </row>
    <row r="10" spans="1:43">
      <c r="A10" t="s">
        <v>43</v>
      </c>
      <c r="B10" t="s">
        <v>113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  <c r="H10" s="1" t="s">
        <v>49</v>
      </c>
      <c r="J10" t="s">
        <v>114</v>
      </c>
      <c r="K10" t="s">
        <v>115</v>
      </c>
      <c r="L10" t="s">
        <v>116</v>
      </c>
      <c r="M10" t="s">
        <v>50</v>
      </c>
      <c r="N10" t="s">
        <v>65</v>
      </c>
      <c r="O10" t="s">
        <v>51</v>
      </c>
      <c r="P10" t="s">
        <v>117</v>
      </c>
      <c r="Q10">
        <v>1</v>
      </c>
      <c r="R10">
        <v>553</v>
      </c>
      <c r="S10">
        <f t="shared" si="0"/>
        <v>553</v>
      </c>
      <c r="T10" t="s">
        <v>59</v>
      </c>
      <c r="U10" t="s">
        <v>53</v>
      </c>
      <c r="V10">
        <v>1</v>
      </c>
      <c r="W10" t="s">
        <v>118</v>
      </c>
      <c r="X10">
        <v>0</v>
      </c>
      <c r="Y10" t="s">
        <v>50</v>
      </c>
      <c r="Z10" t="s">
        <v>81</v>
      </c>
      <c r="AA10" t="s">
        <v>81</v>
      </c>
      <c r="AB10">
        <v>0</v>
      </c>
      <c r="AC10" t="s">
        <v>117</v>
      </c>
      <c r="AD10" t="s">
        <v>71</v>
      </c>
      <c r="AE10" t="s">
        <v>113</v>
      </c>
      <c r="AF10" s="1" t="s">
        <v>54</v>
      </c>
      <c r="AG10">
        <v>0</v>
      </c>
      <c r="AH10" t="s">
        <v>117</v>
      </c>
      <c r="AI10" s="1" t="s">
        <v>44</v>
      </c>
      <c r="AJ10">
        <v>0</v>
      </c>
      <c r="AK10" t="s">
        <v>55</v>
      </c>
      <c r="AL10" t="s">
        <v>56</v>
      </c>
      <c r="AM10" t="s">
        <v>119</v>
      </c>
      <c r="AN10" t="s">
        <v>60</v>
      </c>
      <c r="AO10" t="s">
        <v>56</v>
      </c>
      <c r="AP10" s="2" t="s">
        <v>57</v>
      </c>
      <c r="AQ10" s="1" t="s">
        <v>58</v>
      </c>
    </row>
    <row r="11" spans="1:43">
      <c r="A11" t="s">
        <v>43</v>
      </c>
      <c r="B11" t="s">
        <v>120</v>
      </c>
      <c r="C11" s="1" t="s">
        <v>44</v>
      </c>
      <c r="D11" s="1" t="s">
        <v>45</v>
      </c>
      <c r="E11" s="1" t="s">
        <v>46</v>
      </c>
      <c r="F11" s="1" t="s">
        <v>47</v>
      </c>
      <c r="G11" s="1" t="s">
        <v>48</v>
      </c>
      <c r="H11" s="1" t="s">
        <v>49</v>
      </c>
      <c r="J11" t="s">
        <v>121</v>
      </c>
      <c r="K11" t="s">
        <v>122</v>
      </c>
      <c r="L11" t="s">
        <v>123</v>
      </c>
      <c r="M11" t="s">
        <v>50</v>
      </c>
      <c r="N11" t="s">
        <v>124</v>
      </c>
      <c r="O11" t="s">
        <v>51</v>
      </c>
      <c r="P11" t="s">
        <v>125</v>
      </c>
      <c r="Q11">
        <v>1</v>
      </c>
      <c r="R11">
        <v>257</v>
      </c>
      <c r="S11">
        <f t="shared" si="0"/>
        <v>257</v>
      </c>
      <c r="T11" t="s">
        <v>59</v>
      </c>
      <c r="U11" t="s">
        <v>53</v>
      </c>
      <c r="V11">
        <v>1</v>
      </c>
      <c r="W11" t="s">
        <v>126</v>
      </c>
      <c r="X11">
        <v>0</v>
      </c>
      <c r="Y11" t="s">
        <v>50</v>
      </c>
      <c r="Z11" t="s">
        <v>81</v>
      </c>
      <c r="AA11" t="s">
        <v>81</v>
      </c>
      <c r="AB11">
        <v>0</v>
      </c>
      <c r="AC11" t="s">
        <v>125</v>
      </c>
      <c r="AD11" t="s">
        <v>70</v>
      </c>
      <c r="AE11" t="s">
        <v>120</v>
      </c>
      <c r="AF11" s="1" t="s">
        <v>54</v>
      </c>
      <c r="AG11">
        <v>0</v>
      </c>
      <c r="AH11" t="s">
        <v>125</v>
      </c>
      <c r="AI11" s="1" t="s">
        <v>44</v>
      </c>
      <c r="AJ11">
        <v>0</v>
      </c>
      <c r="AK11" t="s">
        <v>55</v>
      </c>
      <c r="AL11" t="s">
        <v>56</v>
      </c>
      <c r="AM11" t="s">
        <v>127</v>
      </c>
      <c r="AN11" t="s">
        <v>62</v>
      </c>
      <c r="AO11" t="s">
        <v>56</v>
      </c>
      <c r="AP11" s="2" t="s">
        <v>57</v>
      </c>
      <c r="AQ11" s="1" t="s">
        <v>58</v>
      </c>
    </row>
    <row r="12" spans="1:43">
      <c r="A12" t="s">
        <v>43</v>
      </c>
      <c r="B12" t="s">
        <v>120</v>
      </c>
      <c r="C12" s="1" t="s">
        <v>44</v>
      </c>
      <c r="D12" s="1" t="s">
        <v>45</v>
      </c>
      <c r="E12" s="1" t="s">
        <v>46</v>
      </c>
      <c r="F12" s="1" t="s">
        <v>47</v>
      </c>
      <c r="G12" s="1" t="s">
        <v>48</v>
      </c>
      <c r="H12" s="1" t="s">
        <v>49</v>
      </c>
      <c r="J12" t="s">
        <v>121</v>
      </c>
      <c r="K12" t="s">
        <v>122</v>
      </c>
      <c r="L12" t="s">
        <v>123</v>
      </c>
      <c r="M12" t="s">
        <v>50</v>
      </c>
      <c r="N12" t="s">
        <v>124</v>
      </c>
      <c r="O12" t="s">
        <v>51</v>
      </c>
      <c r="P12" t="s">
        <v>125</v>
      </c>
      <c r="Q12">
        <v>1</v>
      </c>
      <c r="R12">
        <v>257</v>
      </c>
      <c r="S12">
        <f t="shared" si="0"/>
        <v>257</v>
      </c>
      <c r="T12" t="s">
        <v>59</v>
      </c>
      <c r="U12" t="s">
        <v>53</v>
      </c>
      <c r="V12">
        <v>1</v>
      </c>
      <c r="W12" t="s">
        <v>126</v>
      </c>
      <c r="X12">
        <v>0</v>
      </c>
      <c r="Y12" t="s">
        <v>50</v>
      </c>
      <c r="Z12" t="s">
        <v>81</v>
      </c>
      <c r="AA12" t="s">
        <v>81</v>
      </c>
      <c r="AB12">
        <v>0</v>
      </c>
      <c r="AC12" t="s">
        <v>125</v>
      </c>
      <c r="AD12" t="s">
        <v>70</v>
      </c>
      <c r="AE12" t="s">
        <v>120</v>
      </c>
      <c r="AF12" s="1" t="s">
        <v>54</v>
      </c>
      <c r="AG12">
        <v>0</v>
      </c>
      <c r="AH12" t="s">
        <v>125</v>
      </c>
      <c r="AI12" s="1" t="s">
        <v>44</v>
      </c>
      <c r="AJ12">
        <v>0</v>
      </c>
      <c r="AK12" t="s">
        <v>55</v>
      </c>
      <c r="AL12" t="s">
        <v>56</v>
      </c>
      <c r="AM12" t="s">
        <v>127</v>
      </c>
      <c r="AN12" t="s">
        <v>62</v>
      </c>
      <c r="AO12" t="s">
        <v>56</v>
      </c>
      <c r="AP12" s="2" t="s">
        <v>57</v>
      </c>
      <c r="AQ12" s="1" t="s">
        <v>58</v>
      </c>
    </row>
  </sheetData>
  <autoFilter ref="A1:AQ12" xr:uid="{00000000-0009-0000-0000-000000000000}"/>
  <phoneticPr fontId="3" type="noConversion"/>
  <conditionalFormatting sqref="B1:B1048576">
    <cfRule type="duplicateValues" dxfId="0" priority="1"/>
  </conditionalFormatting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导出字段模板</vt:lpstr>
      <vt:lpstr>示例值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2020-11-02T12:53:39Z</dcterms:created>
  <dcterms:modified xsi:type="dcterms:W3CDTF">2021-02-10T02:08:28Z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